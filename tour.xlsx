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30928\Desktop\"/>
    </mc:Choice>
  </mc:AlternateContent>
  <xr:revisionPtr revIDLastSave="0" documentId="13_ncr:1_{45DED211-E7A1-43F9-A7A0-98B4AEB2536F}" xr6:coauthVersionLast="47" xr6:coauthVersionMax="47" xr10:uidLastSave="{00000000-0000-0000-0000-000000000000}"/>
  <bookViews>
    <workbookView xWindow="108" yWindow="312" windowWidth="22332" windowHeight="11868" tabRatio="739" activeTab="5" xr2:uid="{EEA41146-82EC-437E-9E66-E20E8E3C49D2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2" l="1"/>
  <c r="J18" i="2"/>
  <c r="J17" i="2"/>
  <c r="J16" i="2"/>
  <c r="J13" i="2"/>
  <c r="J12" i="2"/>
  <c r="J11" i="2"/>
  <c r="J10" i="2"/>
  <c r="J9" i="2"/>
  <c r="J8" i="2"/>
  <c r="J19" i="2" s="1"/>
  <c r="H11" i="5"/>
  <c r="G11" i="5"/>
  <c r="C11" i="5"/>
  <c r="B11" i="5"/>
  <c r="N11" i="4"/>
  <c r="M11" i="4"/>
  <c r="I13" i="4"/>
  <c r="H13" i="4"/>
  <c r="D11" i="4"/>
  <c r="C11" i="4"/>
  <c r="D23" i="4"/>
  <c r="C23" i="4"/>
  <c r="M15" i="3"/>
  <c r="L15" i="3"/>
  <c r="I13" i="3"/>
  <c r="H13" i="3"/>
  <c r="D11" i="3"/>
  <c r="C11" i="3"/>
  <c r="O14" i="2"/>
  <c r="N14" i="2"/>
  <c r="I19" i="2"/>
  <c r="D15" i="2"/>
  <c r="H17" i="2"/>
  <c r="H16" i="2"/>
  <c r="H13" i="2"/>
  <c r="H12" i="2"/>
  <c r="H19" i="2" s="1"/>
  <c r="H11" i="2"/>
  <c r="H10" i="2"/>
  <c r="H9" i="2"/>
</calcChain>
</file>

<file path=xl/sharedStrings.xml><?xml version="1.0" encoding="utf-8"?>
<sst xmlns="http://schemas.openxmlformats.org/spreadsheetml/2006/main" count="280" uniqueCount="169">
  <si>
    <t>🔟 tour（ツアー）</t>
  </si>
  <si>
    <t>topPageのツアー特集ボタン→ツアー一覧ページ→イタリア一周とか国内一周ツアー、個別ページに遷移、csv使う</t>
  </si>
  <si>
    <t>カラム名</t>
  </si>
  <si>
    <t>型</t>
  </si>
  <si>
    <t>内容</t>
  </si>
  <si>
    <t>id</t>
  </si>
  <si>
    <t>INT（PK）</t>
  </si>
  <si>
    <t>name</t>
  </si>
  <si>
    <t>VARCHAR(100)</t>
  </si>
  <si>
    <t>ツアー名（例：南イタリア満喫ツアー）</t>
  </si>
  <si>
    <t>description</t>
  </si>
  <si>
    <t>TEXT</t>
  </si>
  <si>
    <t>ツアー概要</t>
  </si>
  <si>
    <t>base_price</t>
  </si>
  <si>
    <t>DECIMAL(10,2)</t>
  </si>
  <si>
    <t>基本料金</t>
  </si>
  <si>
    <t>tour.csvの中身、country_id,region_id,ツアー名、ツアー概要（説明文）、料金</t>
  </si>
  <si>
    <t>country_id</t>
    <phoneticPr fontId="2"/>
  </si>
  <si>
    <t>ロサンゼルス</t>
  </si>
  <si>
    <t>ラスベガス</t>
  </si>
  <si>
    <t>アリゾナ州</t>
  </si>
  <si>
    <t>ニューヨーク</t>
  </si>
  <si>
    <t>ワシントンD.C.</t>
  </si>
  <si>
    <t>フロリダ</t>
  </si>
  <si>
    <t>ハワイ</t>
  </si>
  <si>
    <t>ローマ</t>
  </si>
  <si>
    <t>バチカン</t>
  </si>
  <si>
    <t>フィレンツェ</t>
  </si>
  <si>
    <t>ベネチア</t>
  </si>
  <si>
    <t>ミラノ</t>
  </si>
  <si>
    <t>ナポリ</t>
  </si>
  <si>
    <t>カプリ島</t>
  </si>
  <si>
    <t>アマルフィ海岸</t>
  </si>
  <si>
    <t>シチリア島</t>
  </si>
  <si>
    <t>チンクエテッレ</t>
  </si>
  <si>
    <t>パリ</t>
  </si>
  <si>
    <t>モンサンミッシェル島</t>
  </si>
  <si>
    <t>ニース</t>
  </si>
  <si>
    <t>リヨン</t>
  </si>
  <si>
    <t>ロワール地方</t>
  </si>
  <si>
    <t>ハノイ</t>
  </si>
  <si>
    <t>ダナン</t>
  </si>
  <si>
    <t>ホイアン</t>
  </si>
  <si>
    <t>ホーチミン</t>
  </si>
  <si>
    <t>ユングフラウ地方</t>
  </si>
  <si>
    <t>チューリッヒ</t>
  </si>
  <si>
    <t>ルツェルン</t>
  </si>
  <si>
    <t>ツェルマット</t>
  </si>
  <si>
    <t>スイス</t>
    <phoneticPr fontId="2"/>
  </si>
  <si>
    <t>ベトナム</t>
    <phoneticPr fontId="2"/>
  </si>
  <si>
    <t>フランス</t>
    <phoneticPr fontId="2"/>
  </si>
  <si>
    <t>イタリア</t>
    <phoneticPr fontId="2"/>
  </si>
  <si>
    <t>アメリカ</t>
    <phoneticPr fontId="2"/>
  </si>
  <si>
    <t>シドニー</t>
  </si>
  <si>
    <t>ウルル</t>
  </si>
  <si>
    <t>ケアンズ</t>
  </si>
  <si>
    <t>メルボルン</t>
  </si>
  <si>
    <t>ロットネスト島</t>
  </si>
  <si>
    <t>オーストラリア</t>
    <phoneticPr fontId="2"/>
  </si>
  <si>
    <t>カイロ</t>
  </si>
  <si>
    <t>ルクソール</t>
  </si>
  <si>
    <t>アスワン</t>
  </si>
  <si>
    <t>エジプト</t>
    <phoneticPr fontId="2"/>
  </si>
  <si>
    <t>シラーズ</t>
  </si>
  <si>
    <t>イスファハン</t>
  </si>
  <si>
    <t>ヤズド</t>
  </si>
  <si>
    <t>テヘラン</t>
  </si>
  <si>
    <t>イラン</t>
    <phoneticPr fontId="2"/>
  </si>
  <si>
    <t>デリー</t>
  </si>
  <si>
    <t>アグラ</t>
  </si>
  <si>
    <t>ジャイプール</t>
  </si>
  <si>
    <t>インド</t>
    <phoneticPr fontId="2"/>
  </si>
  <si>
    <t>北京</t>
  </si>
  <si>
    <t>西安</t>
  </si>
  <si>
    <t>上海</t>
  </si>
  <si>
    <t>中国</t>
    <rPh sb="0" eb="2">
      <t>チュウゴク</t>
    </rPh>
    <phoneticPr fontId="2"/>
  </si>
  <si>
    <t>ソウル</t>
  </si>
  <si>
    <t>釜山</t>
  </si>
  <si>
    <t>済州島</t>
  </si>
  <si>
    <t>韓国</t>
    <rPh sb="0" eb="2">
      <t>カンコク</t>
    </rPh>
    <phoneticPr fontId="2"/>
  </si>
  <si>
    <t>トップページにある航空予約ボタンとか国とかの紹介ページのリンクボタンつけれるだけつける</t>
    <phoneticPr fontId="2"/>
  </si>
  <si>
    <t>航空予約ボタン→行先など選択肢でcsv使う</t>
    <phoneticPr fontId="2"/>
  </si>
  <si>
    <t>タイとロシアは行く地方が２か所しかないので省く、計11項目</t>
    <rPh sb="7" eb="8">
      <t>イ</t>
    </rPh>
    <rPh sb="9" eb="11">
      <t>チホウ</t>
    </rPh>
    <rPh sb="14" eb="15">
      <t>ショ</t>
    </rPh>
    <rPh sb="21" eb="22">
      <t>ハブ</t>
    </rPh>
    <rPh sb="24" eb="25">
      <t>ケイ</t>
    </rPh>
    <rPh sb="27" eb="29">
      <t>コウモク</t>
    </rPh>
    <phoneticPr fontId="2"/>
  </si>
  <si>
    <t>ハワイ</t>
    <phoneticPr fontId="2"/>
  </si>
  <si>
    <t>フロリダ州</t>
    <rPh sb="4" eb="5">
      <t>シュウ</t>
    </rPh>
    <phoneticPr fontId="2"/>
  </si>
  <si>
    <t>日本→</t>
    <rPh sb="0" eb="2">
      <t>ニホン</t>
    </rPh>
    <phoneticPr fontId="2"/>
  </si>
  <si>
    <t>→日本</t>
    <rPh sb="1" eb="3">
      <t>ニホン</t>
    </rPh>
    <phoneticPr fontId="2"/>
  </si>
  <si>
    <t>交通費</t>
    <rPh sb="0" eb="3">
      <t>コウツウヒ</t>
    </rPh>
    <phoneticPr fontId="2"/>
  </si>
  <si>
    <t>ラスベガス(→車）</t>
    <rPh sb="7" eb="8">
      <t>クルマ</t>
    </rPh>
    <phoneticPr fontId="2"/>
  </si>
  <si>
    <t>計</t>
    <rPh sb="0" eb="1">
      <t>ケイ</t>
    </rPh>
    <phoneticPr fontId="2"/>
  </si>
  <si>
    <t>移動時間のみ</t>
    <rPh sb="0" eb="2">
      <t>イドウ</t>
    </rPh>
    <rPh sb="2" eb="4">
      <t>ジカン</t>
    </rPh>
    <phoneticPr fontId="2"/>
  </si>
  <si>
    <t>周遊ルート　西→内陸→南→東→太平洋</t>
    <rPh sb="0" eb="2">
      <t>シュウユウ</t>
    </rPh>
    <rPh sb="6" eb="7">
      <t>ニシ</t>
    </rPh>
    <phoneticPr fontId="2"/>
  </si>
  <si>
    <t>周遊ルート　北→内陸部→南</t>
    <rPh sb="0" eb="2">
      <t>シュウユウ</t>
    </rPh>
    <rPh sb="6" eb="7">
      <t>キタ</t>
    </rPh>
    <rPh sb="8" eb="11">
      <t>ナイリクブ</t>
    </rPh>
    <phoneticPr fontId="2"/>
  </si>
  <si>
    <t>ナポリ(車とフェリー)</t>
    <rPh sb="4" eb="5">
      <t>クルマ</t>
    </rPh>
    <phoneticPr fontId="2"/>
  </si>
  <si>
    <t>(一度ナポリに戻ってフェリー)</t>
    <phoneticPr fontId="2"/>
  </si>
  <si>
    <t>ミラノ(列車)</t>
    <rPh sb="4" eb="6">
      <t>レッシャ</t>
    </rPh>
    <phoneticPr fontId="2"/>
  </si>
  <si>
    <t>周遊ルート　北→西→南→東→南東</t>
    <rPh sb="0" eb="2">
      <t>シュウユウ</t>
    </rPh>
    <rPh sb="6" eb="7">
      <t>キタ</t>
    </rPh>
    <rPh sb="8" eb="9">
      <t>ニシ</t>
    </rPh>
    <rPh sb="12" eb="13">
      <t>ヒガシ</t>
    </rPh>
    <rPh sb="14" eb="16">
      <t>ナントウ</t>
    </rPh>
    <phoneticPr fontId="2"/>
  </si>
  <si>
    <t>パリ</t>
    <phoneticPr fontId="2"/>
  </si>
  <si>
    <t>(国内移動はすべて列車)</t>
    <phoneticPr fontId="2"/>
  </si>
  <si>
    <t>ニース</t>
    <phoneticPr fontId="2"/>
  </si>
  <si>
    <t>(パリへ戻る)</t>
    <phoneticPr fontId="2"/>
  </si>
  <si>
    <t>周遊ルート　北→南</t>
    <rPh sb="0" eb="2">
      <t>シュウユウ</t>
    </rPh>
    <rPh sb="6" eb="7">
      <t>キタ</t>
    </rPh>
    <phoneticPr fontId="2"/>
  </si>
  <si>
    <t>ハノイ(飛行機)</t>
    <phoneticPr fontId="2"/>
  </si>
  <si>
    <t>ダナン(バス)</t>
    <phoneticPr fontId="2"/>
  </si>
  <si>
    <t>ホイアン(飛行機)</t>
    <phoneticPr fontId="2"/>
  </si>
  <si>
    <t>(チューリッヒに戻る)</t>
    <rPh sb="8" eb="9">
      <t>モド</t>
    </rPh>
    <phoneticPr fontId="2"/>
  </si>
  <si>
    <t>(国内移動は電車のみ)</t>
    <rPh sb="1" eb="3">
      <t>コクナイ</t>
    </rPh>
    <rPh sb="3" eb="5">
      <t>イドウ</t>
    </rPh>
    <rPh sb="6" eb="8">
      <t>デンシャ</t>
    </rPh>
    <phoneticPr fontId="2"/>
  </si>
  <si>
    <t>周遊ルート　北 → 中央 → 南東 → 西 → 東</t>
    <rPh sb="0" eb="2">
      <t>シュウユウ</t>
    </rPh>
    <rPh sb="6" eb="7">
      <t>キタ</t>
    </rPh>
    <rPh sb="10" eb="12">
      <t>チュウオウ</t>
    </rPh>
    <rPh sb="15" eb="17">
      <t>ナントウ</t>
    </rPh>
    <rPh sb="20" eb="21">
      <t>ニシ</t>
    </rPh>
    <rPh sb="24" eb="25">
      <t>ヒガシ</t>
    </rPh>
    <phoneticPr fontId="2"/>
  </si>
  <si>
    <t>(パースに戻る)</t>
    <rPh sb="5" eb="6">
      <t>モド</t>
    </rPh>
    <phoneticPr fontId="2"/>
  </si>
  <si>
    <t>周遊ルート　</t>
    <rPh sb="0" eb="2">
      <t>シュウユウ</t>
    </rPh>
    <phoneticPr fontId="2"/>
  </si>
  <si>
    <t>周遊ルート　時計回り</t>
    <rPh sb="0" eb="2">
      <t>シュウユウ</t>
    </rPh>
    <rPh sb="6" eb="9">
      <t>トケイマワ</t>
    </rPh>
    <phoneticPr fontId="2"/>
  </si>
  <si>
    <t>周遊ルート　北→南</t>
    <rPh sb="0" eb="2">
      <t>シュウユウ</t>
    </rPh>
    <rPh sb="6" eb="7">
      <t>キタ</t>
    </rPh>
    <rPh sb="8" eb="9">
      <t>ナン</t>
    </rPh>
    <phoneticPr fontId="2"/>
  </si>
  <si>
    <t>(カイロに戻る)</t>
    <rPh sb="5" eb="6">
      <t>モド</t>
    </rPh>
    <phoneticPr fontId="2"/>
  </si>
  <si>
    <t>ルクソール(鉄道)</t>
    <rPh sb="6" eb="8">
      <t>テツドウ</t>
    </rPh>
    <phoneticPr fontId="2"/>
  </si>
  <si>
    <t>エジプト　ナイル川下り</t>
    <rPh sb="8" eb="9">
      <t>ガワ</t>
    </rPh>
    <rPh sb="9" eb="10">
      <t>クダ</t>
    </rPh>
    <phoneticPr fontId="2"/>
  </si>
  <si>
    <t>エジプト　ナイル川沿い南下</t>
    <rPh sb="8" eb="9">
      <t>ガワ</t>
    </rPh>
    <rPh sb="9" eb="10">
      <t>ソ</t>
    </rPh>
    <rPh sb="11" eb="13">
      <t>ミナミシタ</t>
    </rPh>
    <phoneticPr fontId="2"/>
  </si>
  <si>
    <t>カイロ(飛行機)</t>
    <rPh sb="4" eb="7">
      <t>ヒコウキ</t>
    </rPh>
    <phoneticPr fontId="2"/>
  </si>
  <si>
    <t>アスワン(飛行機)</t>
    <phoneticPr fontId="2"/>
  </si>
  <si>
    <t>ルクソール(4day船)</t>
    <rPh sb="10" eb="11">
      <t>フネ</t>
    </rPh>
    <phoneticPr fontId="2"/>
  </si>
  <si>
    <t>テヘラン(飛行機)</t>
    <phoneticPr fontId="2"/>
  </si>
  <si>
    <t>イスファハン(バス)</t>
    <phoneticPr fontId="2"/>
  </si>
  <si>
    <t>ヤズド(バス)</t>
    <phoneticPr fontId="2"/>
  </si>
  <si>
    <t>(テヘランへ戻る(飛行機))</t>
    <rPh sb="6" eb="7">
      <t>モド</t>
    </rPh>
    <phoneticPr fontId="2"/>
  </si>
  <si>
    <t>インドで解脱しよう！ゴールデントライアングルツアー</t>
    <rPh sb="4" eb="6">
      <t>ゲダツ</t>
    </rPh>
    <phoneticPr fontId="2"/>
  </si>
  <si>
    <t>(デリーへ戻る)</t>
    <rPh sb="5" eb="6">
      <t>モド</t>
    </rPh>
    <phoneticPr fontId="2"/>
  </si>
  <si>
    <t>(国内移動手段は車のみ)</t>
    <rPh sb="1" eb="3">
      <t>コクナイ</t>
    </rPh>
    <rPh sb="3" eb="7">
      <t>イドウシュダン</t>
    </rPh>
    <rPh sb="8" eb="9">
      <t>クルマ</t>
    </rPh>
    <phoneticPr fontId="2"/>
  </si>
  <si>
    <t>西安(鉄道)</t>
    <phoneticPr fontId="2"/>
  </si>
  <si>
    <t>北京(飛行機)</t>
    <phoneticPr fontId="2"/>
  </si>
  <si>
    <t>周遊ルート</t>
    <rPh sb="0" eb="2">
      <t>シュウユウ</t>
    </rPh>
    <phoneticPr fontId="2"/>
  </si>
  <si>
    <t>ソウルで整形、釜山で買い物、済州島(チェジュ島)で食い倒れ</t>
    <rPh sb="4" eb="6">
      <t>セイケイ</t>
    </rPh>
    <rPh sb="7" eb="9">
      <t>プサン</t>
    </rPh>
    <rPh sb="10" eb="11">
      <t>カ</t>
    </rPh>
    <rPh sb="12" eb="13">
      <t>モノ</t>
    </rPh>
    <rPh sb="22" eb="23">
      <t>シマ</t>
    </rPh>
    <rPh sb="25" eb="26">
      <t>ク</t>
    </rPh>
    <rPh sb="27" eb="28">
      <t>ダオ</t>
    </rPh>
    <phoneticPr fontId="2"/>
  </si>
  <si>
    <t>ソウル(鉄道)</t>
    <rPh sb="4" eb="6">
      <t>テツドウ</t>
    </rPh>
    <phoneticPr fontId="2"/>
  </si>
  <si>
    <t>アメリカンパリピツアー</t>
    <phoneticPr fontId="2"/>
  </si>
  <si>
    <t>ベトナム縦断ツアー</t>
    <rPh sb="4" eb="6">
      <t>ジュウダン</t>
    </rPh>
    <phoneticPr fontId="2"/>
  </si>
  <si>
    <t>時計回りで行くスイス周遊</t>
    <rPh sb="0" eb="3">
      <t>トケイマワ</t>
    </rPh>
    <rPh sb="5" eb="6">
      <t>イ</t>
    </rPh>
    <rPh sb="10" eb="12">
      <t>シュウユウ</t>
    </rPh>
    <phoneticPr fontId="2"/>
  </si>
  <si>
    <t>国の紋章！年がら年中前のめりのカンガルーとオーストラリアを楽しむ前のめりツアー</t>
    <phoneticPr fontId="2"/>
  </si>
  <si>
    <t>中国　中華統一するよ！四千年ツアー</t>
    <rPh sb="0" eb="2">
      <t>チュウゴク</t>
    </rPh>
    <rPh sb="3" eb="7">
      <t>チュウカトウイツ</t>
    </rPh>
    <rPh sb="11" eb="14">
      <t>ヨンセンネン</t>
    </rPh>
    <phoneticPr fontId="2"/>
  </si>
  <si>
    <t>韓国　韓国のお餅おいしい・グルメ＆ショッピング＆整形ツアー</t>
    <rPh sb="0" eb="2">
      <t>カンコク</t>
    </rPh>
    <rPh sb="3" eb="5">
      <t>カンコク</t>
    </rPh>
    <rPh sb="7" eb="8">
      <t>モチ</t>
    </rPh>
    <rPh sb="24" eb="26">
      <t>セイケイ</t>
    </rPh>
    <phoneticPr fontId="2"/>
  </si>
  <si>
    <t>イラン　アッラーの足跡を辿る巡礼ツアー</t>
    <rPh sb="14" eb="16">
      <t>ジュンレイ</t>
    </rPh>
    <phoneticPr fontId="2"/>
  </si>
  <si>
    <t>フランス　芸術の国でワイン飲んだくれツアー</t>
    <phoneticPr fontId="2"/>
  </si>
  <si>
    <t>シーザーと海辺を堪能イタリア南下ツアー</t>
    <phoneticPr fontId="2"/>
  </si>
  <si>
    <t>主キー</t>
    <rPh sb="0" eb="1">
      <t>シュ</t>
    </rPh>
    <phoneticPr fontId="2"/>
  </si>
  <si>
    <t>VARCHAR(100)ツアー名</t>
    <phoneticPr fontId="2"/>
  </si>
  <si>
    <t>TEXT　ツアー概要</t>
    <phoneticPr fontId="2"/>
  </si>
  <si>
    <t>芸術の国でワイン飲んだくれツアー</t>
    <phoneticPr fontId="2"/>
  </si>
  <si>
    <t>ベトナム縦断ツアー</t>
    <phoneticPr fontId="2"/>
  </si>
  <si>
    <t>中華統一するよ！中国四千年ツアー</t>
    <rPh sb="0" eb="4">
      <t>チュウカトウイツ</t>
    </rPh>
    <rPh sb="10" eb="13">
      <t>ヨンセンネン</t>
    </rPh>
    <phoneticPr fontId="2"/>
  </si>
  <si>
    <t>アッラーの足跡を辿るイラン巡礼ツアー</t>
    <rPh sb="13" eb="15">
      <t>ジュンレイ</t>
    </rPh>
    <phoneticPr fontId="2"/>
  </si>
  <si>
    <t>韓国のお餅おいしい　
グルメ＆ショッピング＆整形ツアー</t>
    <rPh sb="0" eb="2">
      <t>カンコク</t>
    </rPh>
    <rPh sb="4" eb="5">
      <t>モチ</t>
    </rPh>
    <rPh sb="22" eb="24">
      <t>セイケイ</t>
    </rPh>
    <phoneticPr fontId="2"/>
  </si>
  <si>
    <t>インドで解脱しよう！
ゴールデントライアングルツアー</t>
    <rPh sb="4" eb="6">
      <t>ゲダツ</t>
    </rPh>
    <phoneticPr fontId="2"/>
  </si>
  <si>
    <t>Long（PK）主キー</t>
    <phoneticPr fontId="2"/>
  </si>
  <si>
    <t>Long</t>
    <phoneticPr fontId="2"/>
  </si>
  <si>
    <t>DECIMAL(10,2)交通費(万円)</t>
    <rPh sb="13" eb="16">
      <t>コウツウヒ</t>
    </rPh>
    <rPh sb="17" eb="19">
      <t>マンエン</t>
    </rPh>
    <phoneticPr fontId="2"/>
  </si>
  <si>
    <t>ニューヨーク(列車）</t>
    <rPh sb="7" eb="9">
      <t>レッシャ</t>
    </rPh>
    <phoneticPr fontId="2"/>
  </si>
  <si>
    <t>アリゾナ州</t>
    <phoneticPr fontId="2"/>
  </si>
  <si>
    <t>ワシントンD.C.</t>
    <phoneticPr fontId="2"/>
  </si>
  <si>
    <t>日本→(飛行機10h)→ロサンゼルス(飛行機1.5h)→ラスベガス→(車4.5h)→アリゾナ州→(飛行機4.5h)→フロリダ州→(飛行機3h)→ニューヨーク→(列車2.5h)→ワシントンD.C.→(飛行機12.5h)→ハワイ→(飛行機8.5h)→日本(移動時間計47h)</t>
    <rPh sb="0" eb="2">
      <t>ニホン</t>
    </rPh>
    <rPh sb="4" eb="7">
      <t>ヒコウキ</t>
    </rPh>
    <rPh sb="35" eb="36">
      <t>クルマ</t>
    </rPh>
    <rPh sb="123" eb="125">
      <t>ニホン</t>
    </rPh>
    <rPh sb="126" eb="130">
      <t>イドウジカン</t>
    </rPh>
    <rPh sb="130" eb="131">
      <t>ケイ</t>
    </rPh>
    <phoneticPr fontId="2"/>
  </si>
  <si>
    <t>ベネチア(列車)</t>
    <phoneticPr fontId="2"/>
  </si>
  <si>
    <t>フィレンツェ(列車)</t>
    <phoneticPr fontId="2"/>
  </si>
  <si>
    <t>ローマ・バチカン(列車)</t>
    <phoneticPr fontId="2"/>
  </si>
  <si>
    <t>アマルフィ海岸・カプリ島(車とフェリー)</t>
    <phoneticPr fontId="2"/>
  </si>
  <si>
    <t>シチリア島(列車)</t>
    <rPh sb="6" eb="8">
      <t>レッシャ</t>
    </rPh>
    <phoneticPr fontId="2"/>
  </si>
  <si>
    <t>チンクエテッレ</t>
    <phoneticPr fontId="2"/>
  </si>
  <si>
    <t>日本→(飛行機10h)→ロサンゼルス(飛行機1.5h)→ラスベガス→(車4.5h)→アリゾナ州→(飛行機4.5h)→フロリダ州→(飛行機3h)→ニューヨーク→(列車2.5h)→
ワシントンD.C.→(飛行機12.5h)→ハワイ→(飛行機8.5h)→日本(移動時間計47h)</t>
    <rPh sb="0" eb="2">
      <t>ニホン</t>
    </rPh>
    <rPh sb="4" eb="7">
      <t>ヒコウキ</t>
    </rPh>
    <rPh sb="35" eb="36">
      <t>クルマ</t>
    </rPh>
    <rPh sb="124" eb="126">
      <t>ニホン</t>
    </rPh>
    <rPh sb="127" eb="131">
      <t>イドウジカン</t>
    </rPh>
    <rPh sb="131" eb="132">
      <t>ケイ</t>
    </rPh>
    <phoneticPr fontId="2"/>
  </si>
  <si>
    <t>日本→(飛行機12h)→ミラノ→(列車2.5h)→ベネチア→(列車2.2h)→フィレンツェ→(列車1.5h)→ローマ・バチカン(列車1.2h)→ナポリ(車とフェリー1.2h)→
アマルフィ海岸・カプリ島→(車とフェリー1.2h)→(一度ナポリに戻ってフェリー1h)→シチリア島→(列車1.5h)→チンクエテッレ→(飛行機16h)→日本(移動時間計39h)</t>
    <rPh sb="0" eb="2">
      <t>ニホン</t>
    </rPh>
    <phoneticPr fontId="2"/>
  </si>
  <si>
    <t>日本→(飛行機12h)→ミラノ→(列車2.5h)→ベネチア→(列車2.2h)→フィレンツェ→(列車1.5h)→ローマ・バチカン(列車1.2h)→ナポリ(車とフェリー1.2h)→
アマルフィ海岸・カプリ島→(車とフェリー1.2h)→(ナポリに戻りフェリー1h)→シチリア島→(列車1.5h)→チンクエテッレ→(飛行機16h)→日本(移動時間計39h)</t>
    <phoneticPr fontId="2"/>
  </si>
  <si>
    <t>日本→(飛行機12h)→パリ→(列車4.5h)→モンサンミッシェル島→(列車3h)→ロワール地方→(列車3h)→リヨン→(列車4.7h)→ニース→(パリへ戻る、列車5.5h)→(飛行機12h)→日本(移動時間計45h)</t>
    <rPh sb="4" eb="7">
      <t>ヒコウキ</t>
    </rPh>
    <phoneticPr fontId="2"/>
  </si>
  <si>
    <t>日本→(飛行機12h)→パリ→(列車4.5h)→モンサンミッシェル島→(列車3h)→ロワール地方→(列車3h)→リヨン→(列車4.7h)→ニース→(パリへ戻る、列車5.5h)→(飛行機12h)→日本(移動時間計45h)</t>
    <phoneticPr fontId="2"/>
  </si>
  <si>
    <t>ホーチミン</t>
    <phoneticPr fontId="2"/>
  </si>
  <si>
    <t>日本→(飛行機6h)→ハノイ→(飛行機1.5h)→ダナン→(バス1h)→ホイアン→(飛行機2h)→ホーチミン→(飛行機6h)→日本(移動時間計16.5h)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</si>
</sst>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6" formatCode="&quot;¥&quot;#,##0;[Red]&quot;¥&quot;\-#,##0"/>
    <numFmt numFmtId="185" formatCode="[h]:mm"/>
    <numFmt numFmtId="187" formatCode="0.0_);[Red]\(0.0\)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6" fontId="0" fillId="0" borderId="0" xfId="0" applyNumberFormat="1">
      <alignment vertical="center"/>
    </xf>
    <xf numFmtId="0" fontId="0" fillId="0" borderId="1" xfId="0" applyBorder="1">
      <alignment vertical="center"/>
    </xf>
    <xf numFmtId="6" fontId="0" fillId="0" borderId="1" xfId="0" applyNumberForma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5" fontId="0" fillId="0" borderId="0" xfId="0" applyNumberFormat="1">
      <alignment vertical="center"/>
    </xf>
    <xf numFmtId="5" fontId="0" fillId="0" borderId="1" xfId="0" applyNumberFormat="1" applyBorder="1">
      <alignment vertical="center"/>
    </xf>
    <xf numFmtId="185" fontId="0" fillId="0" borderId="0" xfId="0" applyNumberFormat="1">
      <alignment vertical="center"/>
    </xf>
    <xf numFmtId="185" fontId="0" fillId="0" borderId="1" xfId="0" applyNumberFormat="1" applyBorder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5" fontId="0" fillId="0" borderId="0" xfId="0" applyNumberFormat="1" applyBorder="1">
      <alignment vertical="center"/>
    </xf>
    <xf numFmtId="5" fontId="0" fillId="0" borderId="2" xfId="0" applyNumberFormat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2" borderId="0" xfId="0" applyFont="1" applyFill="1" applyAlignment="1">
      <alignment horizontal="left" vertical="center" shrinkToFit="1"/>
    </xf>
    <xf numFmtId="0" fontId="1" fillId="2" borderId="0" xfId="0" applyFont="1" applyFill="1" applyAlignment="1">
      <alignment vertical="center"/>
    </xf>
    <xf numFmtId="187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4DC3C-9327-4619-86BE-3043B3275711}">
  <dimension ref="A1:R28"/>
  <sheetViews>
    <sheetView topLeftCell="E7" workbookViewId="0">
      <selection activeCell="A15" sqref="A15"/>
    </sheetView>
  </sheetViews>
  <sheetFormatPr defaultRowHeight="18" x14ac:dyDescent="0.45"/>
  <sheetData>
    <row r="1" spans="1:18" x14ac:dyDescent="0.45">
      <c r="A1" s="1" t="s">
        <v>0</v>
      </c>
    </row>
    <row r="2" spans="1:18" x14ac:dyDescent="0.45">
      <c r="A2" t="s">
        <v>1</v>
      </c>
    </row>
    <row r="3" spans="1:18" x14ac:dyDescent="0.45">
      <c r="A3" t="s">
        <v>80</v>
      </c>
    </row>
    <row r="4" spans="1:18" x14ac:dyDescent="0.45">
      <c r="A4" t="s">
        <v>81</v>
      </c>
    </row>
    <row r="5" spans="1:18" x14ac:dyDescent="0.45">
      <c r="A5" t="s">
        <v>16</v>
      </c>
    </row>
    <row r="7" spans="1:18" x14ac:dyDescent="0.45">
      <c r="A7" s="1" t="s">
        <v>2</v>
      </c>
      <c r="B7" s="1" t="s">
        <v>3</v>
      </c>
      <c r="C7" s="1" t="s">
        <v>4</v>
      </c>
    </row>
    <row r="8" spans="1:18" x14ac:dyDescent="0.45">
      <c r="A8" s="1" t="s">
        <v>5</v>
      </c>
      <c r="B8" s="1" t="s">
        <v>6</v>
      </c>
      <c r="C8" s="1" t="s">
        <v>140</v>
      </c>
    </row>
    <row r="9" spans="1:18" x14ac:dyDescent="0.45">
      <c r="A9" s="1" t="s">
        <v>7</v>
      </c>
      <c r="B9" s="1" t="s">
        <v>8</v>
      </c>
      <c r="C9" s="1" t="s">
        <v>9</v>
      </c>
    </row>
    <row r="10" spans="1:18" x14ac:dyDescent="0.45">
      <c r="A10" s="1" t="s">
        <v>10</v>
      </c>
      <c r="B10" s="1" t="s">
        <v>11</v>
      </c>
      <c r="C10" s="1" t="s">
        <v>12</v>
      </c>
    </row>
    <row r="11" spans="1:18" x14ac:dyDescent="0.45">
      <c r="A11" s="1" t="s">
        <v>13</v>
      </c>
      <c r="B11" s="1" t="s">
        <v>14</v>
      </c>
      <c r="C11" s="1" t="s">
        <v>15</v>
      </c>
    </row>
    <row r="13" spans="1:18" x14ac:dyDescent="0.45">
      <c r="A13" s="1"/>
      <c r="B13" s="1"/>
      <c r="C13" s="1"/>
    </row>
    <row r="14" spans="1:18" x14ac:dyDescent="0.45">
      <c r="A14" s="3" t="s">
        <v>82</v>
      </c>
    </row>
    <row r="15" spans="1:18" x14ac:dyDescent="0.45">
      <c r="A15" s="1" t="s">
        <v>17</v>
      </c>
      <c r="C15" s="1" t="s">
        <v>17</v>
      </c>
      <c r="E15" s="1" t="s">
        <v>17</v>
      </c>
      <c r="G15" s="1" t="s">
        <v>17</v>
      </c>
      <c r="I15" s="1" t="s">
        <v>17</v>
      </c>
      <c r="K15" s="1" t="s">
        <v>17</v>
      </c>
      <c r="M15" s="1" t="s">
        <v>17</v>
      </c>
      <c r="N15" s="1" t="s">
        <v>17</v>
      </c>
      <c r="P15" s="1" t="s">
        <v>17</v>
      </c>
      <c r="Q15" s="1" t="s">
        <v>17</v>
      </c>
      <c r="R15" s="1" t="s">
        <v>17</v>
      </c>
    </row>
    <row r="16" spans="1:18" x14ac:dyDescent="0.45">
      <c r="A16">
        <v>1</v>
      </c>
      <c r="C16">
        <v>2</v>
      </c>
      <c r="E16">
        <v>3</v>
      </c>
      <c r="G16">
        <v>4</v>
      </c>
      <c r="I16">
        <v>5</v>
      </c>
      <c r="K16">
        <v>6</v>
      </c>
      <c r="M16">
        <v>8</v>
      </c>
      <c r="N16">
        <v>9</v>
      </c>
      <c r="P16">
        <v>10</v>
      </c>
      <c r="Q16">
        <v>11</v>
      </c>
      <c r="R16">
        <v>13</v>
      </c>
    </row>
    <row r="17" spans="1:18" x14ac:dyDescent="0.45">
      <c r="A17" s="2" t="s">
        <v>52</v>
      </c>
      <c r="C17" t="s">
        <v>51</v>
      </c>
      <c r="E17" t="s">
        <v>50</v>
      </c>
      <c r="G17" t="s">
        <v>49</v>
      </c>
      <c r="I17" t="s">
        <v>48</v>
      </c>
      <c r="K17" t="s">
        <v>58</v>
      </c>
      <c r="M17" t="s">
        <v>62</v>
      </c>
      <c r="N17" t="s">
        <v>67</v>
      </c>
      <c r="P17" t="s">
        <v>71</v>
      </c>
      <c r="Q17" t="s">
        <v>75</v>
      </c>
      <c r="R17" t="s">
        <v>79</v>
      </c>
    </row>
    <row r="19" spans="1:18" x14ac:dyDescent="0.45">
      <c r="A19" t="s">
        <v>18</v>
      </c>
      <c r="C19" t="s">
        <v>25</v>
      </c>
      <c r="E19" t="s">
        <v>35</v>
      </c>
      <c r="G19" t="s">
        <v>40</v>
      </c>
      <c r="I19" t="s">
        <v>44</v>
      </c>
      <c r="K19" t="s">
        <v>53</v>
      </c>
      <c r="M19" t="s">
        <v>59</v>
      </c>
      <c r="N19" t="s">
        <v>63</v>
      </c>
      <c r="P19" t="s">
        <v>68</v>
      </c>
      <c r="Q19" t="s">
        <v>72</v>
      </c>
      <c r="R19" t="s">
        <v>76</v>
      </c>
    </row>
    <row r="20" spans="1:18" x14ac:dyDescent="0.45">
      <c r="A20" t="s">
        <v>19</v>
      </c>
      <c r="C20" t="s">
        <v>26</v>
      </c>
      <c r="E20" t="s">
        <v>36</v>
      </c>
      <c r="G20" t="s">
        <v>41</v>
      </c>
      <c r="I20" t="s">
        <v>45</v>
      </c>
      <c r="K20" t="s">
        <v>54</v>
      </c>
      <c r="M20" t="s">
        <v>60</v>
      </c>
      <c r="N20" t="s">
        <v>64</v>
      </c>
      <c r="P20" t="s">
        <v>69</v>
      </c>
      <c r="Q20" t="s">
        <v>73</v>
      </c>
      <c r="R20" t="s">
        <v>77</v>
      </c>
    </row>
    <row r="21" spans="1:18" x14ac:dyDescent="0.45">
      <c r="A21" t="s">
        <v>20</v>
      </c>
      <c r="C21" t="s">
        <v>27</v>
      </c>
      <c r="E21" t="s">
        <v>37</v>
      </c>
      <c r="G21" t="s">
        <v>42</v>
      </c>
      <c r="I21" t="s">
        <v>46</v>
      </c>
      <c r="K21" t="s">
        <v>55</v>
      </c>
      <c r="M21" t="s">
        <v>61</v>
      </c>
      <c r="N21" t="s">
        <v>65</v>
      </c>
      <c r="P21" t="s">
        <v>70</v>
      </c>
      <c r="Q21" t="s">
        <v>74</v>
      </c>
      <c r="R21" t="s">
        <v>78</v>
      </c>
    </row>
    <row r="22" spans="1:18" x14ac:dyDescent="0.45">
      <c r="A22" t="s">
        <v>21</v>
      </c>
      <c r="C22" t="s">
        <v>28</v>
      </c>
      <c r="E22" t="s">
        <v>38</v>
      </c>
      <c r="G22" t="s">
        <v>43</v>
      </c>
      <c r="I22" t="s">
        <v>47</v>
      </c>
      <c r="K22" t="s">
        <v>56</v>
      </c>
      <c r="N22" t="s">
        <v>66</v>
      </c>
    </row>
    <row r="23" spans="1:18" x14ac:dyDescent="0.45">
      <c r="A23" t="s">
        <v>22</v>
      </c>
      <c r="C23" t="s">
        <v>29</v>
      </c>
      <c r="E23" t="s">
        <v>39</v>
      </c>
      <c r="K23" t="s">
        <v>57</v>
      </c>
    </row>
    <row r="24" spans="1:18" x14ac:dyDescent="0.45">
      <c r="A24" t="s">
        <v>23</v>
      </c>
      <c r="C24" t="s">
        <v>30</v>
      </c>
    </row>
    <row r="25" spans="1:18" x14ac:dyDescent="0.45">
      <c r="A25" t="s">
        <v>24</v>
      </c>
      <c r="C25" t="s">
        <v>31</v>
      </c>
    </row>
    <row r="26" spans="1:18" x14ac:dyDescent="0.45">
      <c r="C26" t="s">
        <v>32</v>
      </c>
    </row>
    <row r="27" spans="1:18" x14ac:dyDescent="0.45">
      <c r="C27" t="s">
        <v>33</v>
      </c>
    </row>
    <row r="28" spans="1:18" x14ac:dyDescent="0.45">
      <c r="C28" t="s">
        <v>34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36948-6F27-41D0-9A82-46AB3787B361}">
  <dimension ref="A1:Q36"/>
  <sheetViews>
    <sheetView topLeftCell="A7" workbookViewId="0">
      <selection activeCell="A21" sqref="A21:Q22"/>
    </sheetView>
  </sheetViews>
  <sheetFormatPr defaultRowHeight="18" x14ac:dyDescent="0.45"/>
  <cols>
    <col min="7" max="7" width="10.59765625" customWidth="1"/>
  </cols>
  <sheetData>
    <row r="1" spans="1:17" x14ac:dyDescent="0.45">
      <c r="A1" s="1" t="s">
        <v>17</v>
      </c>
      <c r="F1" s="1" t="s">
        <v>17</v>
      </c>
      <c r="L1" s="1" t="s">
        <v>17</v>
      </c>
    </row>
    <row r="2" spans="1:17" x14ac:dyDescent="0.45">
      <c r="A2">
        <v>1</v>
      </c>
      <c r="F2">
        <v>2</v>
      </c>
      <c r="L2">
        <v>3</v>
      </c>
    </row>
    <row r="3" spans="1:17" x14ac:dyDescent="0.45">
      <c r="A3" s="2" t="s">
        <v>131</v>
      </c>
      <c r="F3" t="s">
        <v>51</v>
      </c>
      <c r="L3" t="s">
        <v>138</v>
      </c>
    </row>
    <row r="4" spans="1:17" x14ac:dyDescent="0.45">
      <c r="A4" t="s">
        <v>91</v>
      </c>
      <c r="F4" t="s">
        <v>139</v>
      </c>
      <c r="L4" t="s">
        <v>96</v>
      </c>
    </row>
    <row r="5" spans="1:17" x14ac:dyDescent="0.45">
      <c r="C5" t="s">
        <v>87</v>
      </c>
      <c r="D5" t="s">
        <v>90</v>
      </c>
      <c r="G5" t="s">
        <v>92</v>
      </c>
      <c r="N5" t="s">
        <v>87</v>
      </c>
      <c r="O5" t="s">
        <v>90</v>
      </c>
    </row>
    <row r="6" spans="1:17" x14ac:dyDescent="0.45">
      <c r="A6" t="s">
        <v>85</v>
      </c>
      <c r="H6" t="s">
        <v>87</v>
      </c>
      <c r="I6" t="s">
        <v>90</v>
      </c>
      <c r="L6" t="s">
        <v>85</v>
      </c>
      <c r="N6" t="s">
        <v>98</v>
      </c>
    </row>
    <row r="7" spans="1:17" x14ac:dyDescent="0.45">
      <c r="A7" t="s">
        <v>18</v>
      </c>
      <c r="C7" s="4">
        <v>78000</v>
      </c>
      <c r="D7" s="11">
        <v>0.41666666666666669</v>
      </c>
      <c r="F7" t="s">
        <v>85</v>
      </c>
      <c r="L7" t="s">
        <v>97</v>
      </c>
      <c r="N7" s="9">
        <v>110500</v>
      </c>
      <c r="O7" s="11">
        <v>0.5</v>
      </c>
    </row>
    <row r="8" spans="1:17" x14ac:dyDescent="0.45">
      <c r="A8" t="s">
        <v>88</v>
      </c>
      <c r="C8" s="4">
        <v>7100</v>
      </c>
      <c r="D8" s="11">
        <v>6.25E-2</v>
      </c>
      <c r="F8" t="s">
        <v>95</v>
      </c>
      <c r="H8" s="4">
        <v>100000</v>
      </c>
      <c r="I8" s="11">
        <v>0.5</v>
      </c>
      <c r="J8" s="27">
        <f>I8*24</f>
        <v>12</v>
      </c>
      <c r="L8" t="s">
        <v>36</v>
      </c>
      <c r="N8" s="9">
        <v>8500</v>
      </c>
      <c r="O8" s="11">
        <v>0.1875</v>
      </c>
    </row>
    <row r="9" spans="1:17" x14ac:dyDescent="0.45">
      <c r="A9" t="s">
        <v>153</v>
      </c>
      <c r="C9" s="4">
        <v>12000</v>
      </c>
      <c r="D9" s="11">
        <v>0.1875</v>
      </c>
      <c r="F9" t="s">
        <v>156</v>
      </c>
      <c r="H9" s="9">
        <f>170*25</f>
        <v>4250</v>
      </c>
      <c r="I9" s="11">
        <v>0.10416666666666667</v>
      </c>
      <c r="J9" s="27">
        <f t="shared" ref="J9:J13" si="0">I9*24</f>
        <v>2.5</v>
      </c>
      <c r="L9" t="s">
        <v>39</v>
      </c>
      <c r="N9" s="9">
        <v>5100</v>
      </c>
      <c r="O9" s="11">
        <v>0.125</v>
      </c>
    </row>
    <row r="10" spans="1:17" x14ac:dyDescent="0.45">
      <c r="A10" t="s">
        <v>84</v>
      </c>
      <c r="C10" s="4">
        <v>16500</v>
      </c>
      <c r="D10" s="11">
        <v>0.1875</v>
      </c>
      <c r="F10" t="s">
        <v>157</v>
      </c>
      <c r="H10" s="9">
        <f>170*35</f>
        <v>5950</v>
      </c>
      <c r="I10" s="11">
        <v>9.0277777777777776E-2</v>
      </c>
      <c r="J10" s="27">
        <f t="shared" si="0"/>
        <v>2.1666666666666665</v>
      </c>
      <c r="L10" t="s">
        <v>38</v>
      </c>
      <c r="N10" s="9">
        <v>7650</v>
      </c>
      <c r="O10" s="11">
        <v>0.125</v>
      </c>
    </row>
    <row r="11" spans="1:17" x14ac:dyDescent="0.45">
      <c r="A11" t="s">
        <v>152</v>
      </c>
      <c r="C11" s="4">
        <v>9000</v>
      </c>
      <c r="D11" s="11">
        <v>0.125</v>
      </c>
      <c r="F11" t="s">
        <v>158</v>
      </c>
      <c r="H11" s="9">
        <f>170*30</f>
        <v>5100</v>
      </c>
      <c r="I11" s="11">
        <v>6.25E-2</v>
      </c>
      <c r="J11" s="27">
        <f t="shared" si="0"/>
        <v>1.5</v>
      </c>
      <c r="L11" t="s">
        <v>99</v>
      </c>
      <c r="N11" s="9">
        <v>8500</v>
      </c>
      <c r="O11" s="11">
        <v>0.19444444444444445</v>
      </c>
      <c r="P11" s="27">
        <f t="shared" ref="P11" si="1">O11*24</f>
        <v>4.666666666666667</v>
      </c>
    </row>
    <row r="12" spans="1:17" x14ac:dyDescent="0.45">
      <c r="A12" t="s">
        <v>154</v>
      </c>
      <c r="C12" s="4">
        <v>3400</v>
      </c>
      <c r="D12" s="11">
        <v>0.10416666666666667</v>
      </c>
      <c r="F12" t="s">
        <v>93</v>
      </c>
      <c r="H12" s="9">
        <f>170*25</f>
        <v>4250</v>
      </c>
      <c r="I12" s="11">
        <v>4.8611111111111112E-2</v>
      </c>
      <c r="J12" s="27">
        <f t="shared" si="0"/>
        <v>1.1666666666666667</v>
      </c>
      <c r="L12" t="s">
        <v>100</v>
      </c>
      <c r="N12" s="9">
        <v>8500</v>
      </c>
      <c r="O12" s="11">
        <v>0.24305555555555555</v>
      </c>
    </row>
    <row r="13" spans="1:17" x14ac:dyDescent="0.45">
      <c r="A13" t="s">
        <v>83</v>
      </c>
      <c r="C13" s="4">
        <v>83700</v>
      </c>
      <c r="D13" s="11">
        <v>0.52083333333333337</v>
      </c>
      <c r="F13" t="s">
        <v>159</v>
      </c>
      <c r="H13" s="9">
        <f>170*40</f>
        <v>6800</v>
      </c>
      <c r="I13" s="11">
        <v>4.8611111111111112E-2</v>
      </c>
      <c r="J13" s="27">
        <f t="shared" si="0"/>
        <v>1.1666666666666667</v>
      </c>
      <c r="L13" s="5" t="s">
        <v>86</v>
      </c>
      <c r="M13" s="5"/>
      <c r="N13" s="10">
        <v>110500</v>
      </c>
      <c r="O13" s="12">
        <v>0.5</v>
      </c>
    </row>
    <row r="14" spans="1:17" x14ac:dyDescent="0.45">
      <c r="A14" s="5" t="s">
        <v>86</v>
      </c>
      <c r="B14" s="5"/>
      <c r="C14" s="6">
        <v>42000</v>
      </c>
      <c r="D14" s="12">
        <v>0.35416666666666669</v>
      </c>
      <c r="I14" s="11"/>
      <c r="J14" s="27"/>
      <c r="M14" t="s">
        <v>89</v>
      </c>
      <c r="N14" s="9">
        <f>SUM(N7:N13)</f>
        <v>259250</v>
      </c>
      <c r="O14" s="11">
        <f>SUM(O7:O13)</f>
        <v>1.875</v>
      </c>
      <c r="Q14" s="16"/>
    </row>
    <row r="15" spans="1:17" x14ac:dyDescent="0.45">
      <c r="B15" t="s">
        <v>89</v>
      </c>
      <c r="C15" s="4">
        <v>251700</v>
      </c>
      <c r="D15" s="11">
        <f>SUM(D7:D14)</f>
        <v>1.9583333333333337</v>
      </c>
      <c r="F15" s="8" t="s">
        <v>94</v>
      </c>
      <c r="I15" s="11"/>
      <c r="J15" s="27"/>
    </row>
    <row r="16" spans="1:17" x14ac:dyDescent="0.45">
      <c r="F16" t="s">
        <v>160</v>
      </c>
      <c r="H16" s="9">
        <f>170*50</f>
        <v>8500</v>
      </c>
      <c r="I16" s="11">
        <v>4.1666666666666664E-2</v>
      </c>
      <c r="J16" s="27">
        <f t="shared" ref="J16:J18" si="2">I16*24</f>
        <v>1</v>
      </c>
    </row>
    <row r="17" spans="1:17" x14ac:dyDescent="0.45">
      <c r="F17" t="s">
        <v>161</v>
      </c>
      <c r="H17" s="9">
        <f>170*60</f>
        <v>10200</v>
      </c>
      <c r="I17" s="11">
        <v>6.25E-2</v>
      </c>
      <c r="J17" s="27">
        <f t="shared" si="2"/>
        <v>1.5</v>
      </c>
    </row>
    <row r="18" spans="1:17" x14ac:dyDescent="0.45">
      <c r="F18" s="5" t="s">
        <v>86</v>
      </c>
      <c r="G18" s="5"/>
      <c r="H18" s="10">
        <v>125000</v>
      </c>
      <c r="I18" s="12">
        <v>0.66666666666666663</v>
      </c>
      <c r="J18" s="27">
        <f t="shared" si="2"/>
        <v>16</v>
      </c>
    </row>
    <row r="19" spans="1:17" x14ac:dyDescent="0.45">
      <c r="G19" t="s">
        <v>89</v>
      </c>
      <c r="H19" s="4">
        <f>SUM(H8:H18)</f>
        <v>270050</v>
      </c>
      <c r="I19" s="11">
        <f>SUM(I8:I18)</f>
        <v>1.625</v>
      </c>
      <c r="J19" s="27">
        <f>SUM(J8:J18)</f>
        <v>39</v>
      </c>
    </row>
    <row r="21" spans="1:17" x14ac:dyDescent="0.45">
      <c r="A21" s="29" t="s">
        <v>165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</row>
    <row r="22" spans="1:17" x14ac:dyDescent="0.4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1:17" x14ac:dyDescent="0.45">
      <c r="A23" s="29" t="s">
        <v>162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</row>
    <row r="24" spans="1:17" x14ac:dyDescent="0.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</row>
    <row r="25" spans="1:17" x14ac:dyDescent="0.45">
      <c r="A25" s="29" t="s">
        <v>163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</row>
    <row r="26" spans="1:17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</row>
    <row r="33" spans="1:1" x14ac:dyDescent="0.45">
      <c r="A33" s="8"/>
    </row>
    <row r="36" spans="1:1" x14ac:dyDescent="0.45">
      <c r="A36" s="16"/>
    </row>
  </sheetData>
  <mergeCells count="3">
    <mergeCell ref="A23:Q24"/>
    <mergeCell ref="A25:Q26"/>
    <mergeCell ref="A21:Q22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AE2-A49E-4B5A-857D-A5543F1FF222}">
  <dimension ref="A1:M17"/>
  <sheetViews>
    <sheetView workbookViewId="0">
      <selection activeCell="A17" sqref="A17"/>
    </sheetView>
  </sheetViews>
  <sheetFormatPr defaultRowHeight="18" x14ac:dyDescent="0.45"/>
  <sheetData>
    <row r="1" spans="1:13" x14ac:dyDescent="0.45">
      <c r="A1" s="1" t="s">
        <v>17</v>
      </c>
      <c r="F1" s="1" t="s">
        <v>17</v>
      </c>
      <c r="K1" s="1" t="s">
        <v>17</v>
      </c>
    </row>
    <row r="2" spans="1:13" x14ac:dyDescent="0.45">
      <c r="A2">
        <v>4</v>
      </c>
      <c r="F2">
        <v>5</v>
      </c>
      <c r="K2">
        <v>6</v>
      </c>
    </row>
    <row r="3" spans="1:13" x14ac:dyDescent="0.45">
      <c r="A3" t="s">
        <v>132</v>
      </c>
      <c r="C3" t="s">
        <v>101</v>
      </c>
      <c r="F3" t="s">
        <v>133</v>
      </c>
      <c r="K3" t="s">
        <v>58</v>
      </c>
    </row>
    <row r="4" spans="1:13" x14ac:dyDescent="0.45">
      <c r="C4" t="s">
        <v>87</v>
      </c>
      <c r="D4" t="s">
        <v>90</v>
      </c>
      <c r="F4" t="s">
        <v>110</v>
      </c>
      <c r="K4" t="s">
        <v>134</v>
      </c>
    </row>
    <row r="5" spans="1:13" x14ac:dyDescent="0.45">
      <c r="A5" t="s">
        <v>85</v>
      </c>
      <c r="C5" s="7"/>
      <c r="H5" t="s">
        <v>87</v>
      </c>
      <c r="I5" t="s">
        <v>90</v>
      </c>
      <c r="K5" s="7" t="s">
        <v>107</v>
      </c>
    </row>
    <row r="6" spans="1:13" x14ac:dyDescent="0.45">
      <c r="A6" t="s">
        <v>102</v>
      </c>
      <c r="C6" s="9">
        <v>95000</v>
      </c>
      <c r="D6" s="11">
        <v>0.25</v>
      </c>
      <c r="F6" t="s">
        <v>85</v>
      </c>
      <c r="G6" t="s">
        <v>106</v>
      </c>
      <c r="L6" t="s">
        <v>87</v>
      </c>
      <c r="M6" t="s">
        <v>90</v>
      </c>
    </row>
    <row r="7" spans="1:13" x14ac:dyDescent="0.45">
      <c r="A7" t="s">
        <v>103</v>
      </c>
      <c r="C7" s="9">
        <v>9000</v>
      </c>
      <c r="D7" s="11">
        <v>6.25E-2</v>
      </c>
      <c r="F7" t="s">
        <v>45</v>
      </c>
      <c r="H7" s="9">
        <v>180000</v>
      </c>
      <c r="I7" s="11">
        <v>0.5</v>
      </c>
      <c r="K7" t="s">
        <v>85</v>
      </c>
    </row>
    <row r="8" spans="1:13" x14ac:dyDescent="0.45">
      <c r="A8" t="s">
        <v>104</v>
      </c>
      <c r="C8" s="9">
        <v>1000</v>
      </c>
      <c r="D8" s="11">
        <v>4.1666666666666664E-2</v>
      </c>
      <c r="F8" t="s">
        <v>46</v>
      </c>
      <c r="H8" s="9">
        <v>4000</v>
      </c>
      <c r="I8" s="11">
        <v>4.1666666666666664E-2</v>
      </c>
      <c r="K8" t="s">
        <v>55</v>
      </c>
      <c r="L8" s="9">
        <v>100000</v>
      </c>
      <c r="M8" s="11">
        <v>0.3125</v>
      </c>
    </row>
    <row r="9" spans="1:13" x14ac:dyDescent="0.45">
      <c r="A9" t="s">
        <v>167</v>
      </c>
      <c r="C9" s="9">
        <v>9000</v>
      </c>
      <c r="D9" s="11">
        <v>8.3333333333333329E-2</v>
      </c>
      <c r="F9" t="s">
        <v>44</v>
      </c>
      <c r="H9" s="9">
        <v>6000</v>
      </c>
      <c r="I9" s="11">
        <v>8.3333333333333329E-2</v>
      </c>
      <c r="K9" t="s">
        <v>54</v>
      </c>
      <c r="L9" s="9">
        <v>40000</v>
      </c>
      <c r="M9" s="11">
        <v>0.1875</v>
      </c>
    </row>
    <row r="10" spans="1:13" x14ac:dyDescent="0.45">
      <c r="A10" s="5" t="s">
        <v>86</v>
      </c>
      <c r="B10" s="5"/>
      <c r="C10" s="10">
        <v>95000</v>
      </c>
      <c r="D10" s="12">
        <v>0.25</v>
      </c>
      <c r="F10" t="s">
        <v>47</v>
      </c>
      <c r="H10" s="9">
        <v>8000</v>
      </c>
      <c r="I10" s="11">
        <v>0.10416666666666667</v>
      </c>
      <c r="K10" t="s">
        <v>56</v>
      </c>
      <c r="L10" s="9">
        <v>35000</v>
      </c>
      <c r="M10" s="11">
        <v>0.125</v>
      </c>
    </row>
    <row r="11" spans="1:13" x14ac:dyDescent="0.45">
      <c r="A11" t="s">
        <v>89</v>
      </c>
      <c r="C11" s="9">
        <f>SUM(C6:C10)</f>
        <v>209000</v>
      </c>
      <c r="D11" s="11">
        <f>SUM(D6:D10)</f>
        <v>0.6875</v>
      </c>
      <c r="F11" t="s">
        <v>105</v>
      </c>
      <c r="H11" s="9">
        <v>10000</v>
      </c>
      <c r="I11" s="11">
        <v>0.14583333333333334</v>
      </c>
      <c r="K11" s="13" t="s">
        <v>57</v>
      </c>
      <c r="L11" s="9">
        <v>10000</v>
      </c>
      <c r="M11" s="11">
        <v>0.16666666666666666</v>
      </c>
    </row>
    <row r="12" spans="1:13" x14ac:dyDescent="0.45">
      <c r="F12" s="5" t="s">
        <v>86</v>
      </c>
      <c r="G12" s="5"/>
      <c r="H12" s="10">
        <v>180000</v>
      </c>
      <c r="I12" s="12">
        <v>0.5</v>
      </c>
      <c r="K12" s="13" t="s">
        <v>108</v>
      </c>
      <c r="L12" s="9"/>
      <c r="M12" s="11">
        <v>6.25E-2</v>
      </c>
    </row>
    <row r="13" spans="1:13" x14ac:dyDescent="0.45">
      <c r="F13" t="s">
        <v>89</v>
      </c>
      <c r="H13" s="9">
        <f>SUM(H7:H12)</f>
        <v>388000</v>
      </c>
      <c r="I13" s="11">
        <f>SUM(I7:I12)</f>
        <v>1.375</v>
      </c>
      <c r="K13" t="s">
        <v>53</v>
      </c>
      <c r="L13" s="9">
        <v>35000</v>
      </c>
      <c r="M13" s="11">
        <v>0.1875</v>
      </c>
    </row>
    <row r="14" spans="1:13" x14ac:dyDescent="0.45">
      <c r="K14" s="5" t="s">
        <v>86</v>
      </c>
      <c r="L14" s="10">
        <v>180000</v>
      </c>
      <c r="M14" s="12">
        <v>0.39583333333333331</v>
      </c>
    </row>
    <row r="15" spans="1:13" x14ac:dyDescent="0.45">
      <c r="K15" t="s">
        <v>89</v>
      </c>
      <c r="L15" s="9">
        <f>SUM(L8:L14)</f>
        <v>400000</v>
      </c>
      <c r="M15" s="11">
        <f>SUM(M8:M14)</f>
        <v>1.4374999999999998</v>
      </c>
    </row>
    <row r="17" spans="1:1" x14ac:dyDescent="0.45">
      <c r="A17" t="s">
        <v>168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10CB-9227-4E33-90EC-9305C36CB636}">
  <dimension ref="A1:N23"/>
  <sheetViews>
    <sheetView workbookViewId="0">
      <selection activeCell="K3" sqref="K3"/>
    </sheetView>
  </sheetViews>
  <sheetFormatPr defaultRowHeight="18" x14ac:dyDescent="0.45"/>
  <sheetData>
    <row r="1" spans="1:14" x14ac:dyDescent="0.45">
      <c r="A1" s="1" t="s">
        <v>17</v>
      </c>
      <c r="F1" s="1" t="s">
        <v>17</v>
      </c>
      <c r="K1" s="1" t="s">
        <v>17</v>
      </c>
    </row>
    <row r="2" spans="1:14" x14ac:dyDescent="0.45">
      <c r="A2">
        <v>8</v>
      </c>
      <c r="F2">
        <v>9</v>
      </c>
      <c r="K2">
        <v>10</v>
      </c>
    </row>
    <row r="3" spans="1:14" x14ac:dyDescent="0.45">
      <c r="A3" t="s">
        <v>114</v>
      </c>
      <c r="F3" t="s">
        <v>137</v>
      </c>
      <c r="K3" t="s">
        <v>123</v>
      </c>
    </row>
    <row r="4" spans="1:14" x14ac:dyDescent="0.45">
      <c r="C4" t="s">
        <v>87</v>
      </c>
      <c r="D4" t="s">
        <v>90</v>
      </c>
      <c r="M4" t="s">
        <v>87</v>
      </c>
      <c r="N4" t="s">
        <v>90</v>
      </c>
    </row>
    <row r="5" spans="1:14" x14ac:dyDescent="0.45">
      <c r="A5" t="s">
        <v>85</v>
      </c>
      <c r="H5" t="s">
        <v>87</v>
      </c>
      <c r="I5" t="s">
        <v>90</v>
      </c>
      <c r="K5" t="s">
        <v>85</v>
      </c>
      <c r="L5" t="s">
        <v>125</v>
      </c>
    </row>
    <row r="6" spans="1:14" x14ac:dyDescent="0.45">
      <c r="A6" t="s">
        <v>116</v>
      </c>
      <c r="C6" s="9">
        <v>90000</v>
      </c>
      <c r="D6" s="11">
        <v>0.66666666666666663</v>
      </c>
      <c r="F6" t="s">
        <v>85</v>
      </c>
      <c r="H6" s="9"/>
      <c r="K6" t="s">
        <v>68</v>
      </c>
      <c r="M6" s="9">
        <v>75000</v>
      </c>
      <c r="N6" s="11">
        <v>0.35416666666666669</v>
      </c>
    </row>
    <row r="7" spans="1:14" x14ac:dyDescent="0.45">
      <c r="A7" t="s">
        <v>118</v>
      </c>
      <c r="C7">
        <v>15000</v>
      </c>
      <c r="D7" s="11">
        <v>4.1666666666666664E-2</v>
      </c>
      <c r="F7" t="s">
        <v>119</v>
      </c>
      <c r="H7" s="9">
        <v>90000</v>
      </c>
      <c r="I7" s="11">
        <v>0.625</v>
      </c>
      <c r="K7" t="s">
        <v>69</v>
      </c>
      <c r="M7" s="9">
        <v>2000</v>
      </c>
      <c r="N7" s="11">
        <v>0.16666666666666666</v>
      </c>
    </row>
    <row r="8" spans="1:14" x14ac:dyDescent="0.45">
      <c r="A8" t="s">
        <v>117</v>
      </c>
      <c r="C8">
        <v>60000</v>
      </c>
      <c r="D8" s="11">
        <v>0.41666666666666669</v>
      </c>
      <c r="F8" t="s">
        <v>120</v>
      </c>
      <c r="H8" s="9"/>
      <c r="I8" s="11">
        <v>4.1666666666666664E-2</v>
      </c>
      <c r="K8" t="s">
        <v>70</v>
      </c>
      <c r="M8" s="9">
        <v>2500</v>
      </c>
      <c r="N8" s="11">
        <v>0.20833333333333334</v>
      </c>
    </row>
    <row r="9" spans="1:14" x14ac:dyDescent="0.45">
      <c r="A9" s="14" t="s">
        <v>112</v>
      </c>
      <c r="C9">
        <v>18000</v>
      </c>
      <c r="D9" s="11">
        <v>6.25E-2</v>
      </c>
      <c r="F9" t="s">
        <v>121</v>
      </c>
      <c r="H9" s="9"/>
      <c r="I9" s="11">
        <v>0.16666666666666666</v>
      </c>
      <c r="K9" t="s">
        <v>124</v>
      </c>
      <c r="M9" s="9">
        <v>2500</v>
      </c>
      <c r="N9" s="11">
        <v>0.25</v>
      </c>
    </row>
    <row r="10" spans="1:14" x14ac:dyDescent="0.45">
      <c r="A10" s="5" t="s">
        <v>86</v>
      </c>
      <c r="B10" s="5"/>
      <c r="C10" s="10">
        <v>90000</v>
      </c>
      <c r="D10" s="12">
        <v>0.66666666666666663</v>
      </c>
      <c r="F10" t="s">
        <v>63</v>
      </c>
      <c r="H10" s="9"/>
      <c r="I10" s="11">
        <v>0.25</v>
      </c>
      <c r="K10" s="5" t="s">
        <v>86</v>
      </c>
      <c r="L10" s="5"/>
      <c r="M10" s="10">
        <v>75000</v>
      </c>
      <c r="N10" s="12">
        <v>0.35416666666666669</v>
      </c>
    </row>
    <row r="11" spans="1:14" x14ac:dyDescent="0.45">
      <c r="A11" t="s">
        <v>89</v>
      </c>
      <c r="C11" s="9">
        <f>SUM(C6:C10)</f>
        <v>273000</v>
      </c>
      <c r="D11" s="11">
        <f>SUM(D6:D10)</f>
        <v>1.8541666666666665</v>
      </c>
      <c r="F11" s="7" t="s">
        <v>122</v>
      </c>
      <c r="H11" s="9">
        <v>40000</v>
      </c>
      <c r="I11" s="11">
        <v>6.25E-2</v>
      </c>
      <c r="M11" s="9">
        <f>SUM(M6:M10)</f>
        <v>157000</v>
      </c>
      <c r="N11" s="11">
        <f>SUM(N6:N10)</f>
        <v>1.3333333333333335</v>
      </c>
    </row>
    <row r="12" spans="1:14" x14ac:dyDescent="0.45">
      <c r="F12" s="5" t="s">
        <v>86</v>
      </c>
      <c r="G12" s="5"/>
      <c r="H12" s="10">
        <v>90000</v>
      </c>
      <c r="I12" s="12">
        <v>0.625</v>
      </c>
    </row>
    <row r="13" spans="1:14" x14ac:dyDescent="0.45">
      <c r="F13" t="s">
        <v>89</v>
      </c>
      <c r="H13" s="9">
        <f>SUM(H7:H12)</f>
        <v>220000</v>
      </c>
      <c r="I13" s="11">
        <f>SUM(I7:I12)</f>
        <v>1.7708333333333333</v>
      </c>
    </row>
    <row r="14" spans="1:14" x14ac:dyDescent="0.45">
      <c r="A14" s="15" t="s">
        <v>115</v>
      </c>
    </row>
    <row r="15" spans="1:14" x14ac:dyDescent="0.45">
      <c r="A15" t="s">
        <v>111</v>
      </c>
    </row>
    <row r="16" spans="1:14" x14ac:dyDescent="0.45">
      <c r="C16" t="s">
        <v>87</v>
      </c>
      <c r="D16" t="s">
        <v>90</v>
      </c>
    </row>
    <row r="17" spans="1:4" x14ac:dyDescent="0.45">
      <c r="A17" t="s">
        <v>85</v>
      </c>
    </row>
    <row r="18" spans="1:4" x14ac:dyDescent="0.45">
      <c r="A18" t="s">
        <v>59</v>
      </c>
      <c r="C18" s="9">
        <v>90000</v>
      </c>
      <c r="D18" s="11">
        <v>0.66666666666666663</v>
      </c>
    </row>
    <row r="19" spans="1:4" x14ac:dyDescent="0.45">
      <c r="A19" t="s">
        <v>113</v>
      </c>
      <c r="C19" s="9">
        <v>15000</v>
      </c>
      <c r="D19" s="11">
        <v>4.1666666666666664E-2</v>
      </c>
    </row>
    <row r="20" spans="1:4" x14ac:dyDescent="0.45">
      <c r="A20" t="s">
        <v>61</v>
      </c>
      <c r="C20" s="9">
        <v>5000</v>
      </c>
      <c r="D20" s="11">
        <v>0.16666666666666666</v>
      </c>
    </row>
    <row r="21" spans="1:4" x14ac:dyDescent="0.45">
      <c r="A21" s="14" t="s">
        <v>112</v>
      </c>
      <c r="C21" s="9">
        <v>18000</v>
      </c>
      <c r="D21" s="11">
        <v>6.25E-2</v>
      </c>
    </row>
    <row r="22" spans="1:4" x14ac:dyDescent="0.45">
      <c r="A22" s="5" t="s">
        <v>86</v>
      </c>
      <c r="B22" s="5"/>
      <c r="C22" s="10">
        <v>90000</v>
      </c>
      <c r="D22" s="12">
        <v>0.70833333333333337</v>
      </c>
    </row>
    <row r="23" spans="1:4" x14ac:dyDescent="0.45">
      <c r="A23" t="s">
        <v>89</v>
      </c>
      <c r="C23" s="9">
        <f>SUM(C18:C22)</f>
        <v>218000</v>
      </c>
      <c r="D23" s="11">
        <f>SUM(D18:D22)</f>
        <v>1.6458333333333333</v>
      </c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95C2-1802-4734-96AB-D1D51F2E22C2}">
  <dimension ref="A1:H12"/>
  <sheetViews>
    <sheetView workbookViewId="0">
      <selection activeCell="E3" sqref="E3"/>
    </sheetView>
  </sheetViews>
  <sheetFormatPr defaultRowHeight="18" x14ac:dyDescent="0.45"/>
  <sheetData>
    <row r="1" spans="1:8" x14ac:dyDescent="0.45">
      <c r="A1" s="1" t="s">
        <v>17</v>
      </c>
      <c r="E1" s="1" t="s">
        <v>17</v>
      </c>
    </row>
    <row r="2" spans="1:8" x14ac:dyDescent="0.45">
      <c r="A2">
        <v>11</v>
      </c>
      <c r="E2">
        <v>13</v>
      </c>
    </row>
    <row r="3" spans="1:8" x14ac:dyDescent="0.45">
      <c r="A3" t="s">
        <v>135</v>
      </c>
      <c r="E3" t="s">
        <v>136</v>
      </c>
    </row>
    <row r="4" spans="1:8" x14ac:dyDescent="0.45">
      <c r="A4" t="s">
        <v>109</v>
      </c>
      <c r="E4" t="s">
        <v>128</v>
      </c>
    </row>
    <row r="5" spans="1:8" x14ac:dyDescent="0.45">
      <c r="B5" t="s">
        <v>87</v>
      </c>
      <c r="C5" t="s">
        <v>90</v>
      </c>
      <c r="G5" t="s">
        <v>87</v>
      </c>
      <c r="H5" t="s">
        <v>90</v>
      </c>
    </row>
    <row r="6" spans="1:8" x14ac:dyDescent="0.45">
      <c r="A6" t="s">
        <v>85</v>
      </c>
      <c r="E6" t="s">
        <v>85</v>
      </c>
    </row>
    <row r="7" spans="1:8" x14ac:dyDescent="0.45">
      <c r="A7" t="s">
        <v>126</v>
      </c>
      <c r="B7" s="9">
        <v>75000</v>
      </c>
      <c r="C7" s="11">
        <v>0.22916666666666666</v>
      </c>
      <c r="E7" t="s">
        <v>130</v>
      </c>
      <c r="G7" s="17">
        <v>60000</v>
      </c>
      <c r="H7" s="11">
        <v>0.11805555555555555</v>
      </c>
    </row>
    <row r="8" spans="1:8" x14ac:dyDescent="0.45">
      <c r="A8" t="s">
        <v>127</v>
      </c>
      <c r="B8" s="9">
        <v>20000</v>
      </c>
      <c r="C8" s="11">
        <v>0.25</v>
      </c>
      <c r="E8" t="s">
        <v>77</v>
      </c>
      <c r="G8" s="17">
        <v>12000</v>
      </c>
      <c r="H8" s="11">
        <v>5.5555555555555552E-2</v>
      </c>
    </row>
    <row r="9" spans="1:8" x14ac:dyDescent="0.45">
      <c r="A9" t="s">
        <v>74</v>
      </c>
      <c r="B9" s="9">
        <v>40000</v>
      </c>
      <c r="C9" s="11">
        <v>0.10416666666666667</v>
      </c>
      <c r="E9" t="s">
        <v>78</v>
      </c>
      <c r="G9" s="17">
        <v>10000</v>
      </c>
      <c r="H9" s="11">
        <v>0.125</v>
      </c>
    </row>
    <row r="10" spans="1:8" x14ac:dyDescent="0.45">
      <c r="A10" s="5" t="s">
        <v>86</v>
      </c>
      <c r="B10" s="10">
        <v>75000</v>
      </c>
      <c r="C10" s="12">
        <v>0.125</v>
      </c>
      <c r="E10" s="5" t="s">
        <v>86</v>
      </c>
      <c r="F10" s="5"/>
      <c r="G10" s="10">
        <v>40000</v>
      </c>
      <c r="H10" s="12">
        <v>0.125</v>
      </c>
    </row>
    <row r="11" spans="1:8" x14ac:dyDescent="0.45">
      <c r="A11" t="s">
        <v>89</v>
      </c>
      <c r="B11" s="9">
        <f>SUM(B7:B10)</f>
        <v>210000</v>
      </c>
      <c r="C11" s="11">
        <f>SUM(C7:C10)</f>
        <v>0.70833333333333326</v>
      </c>
      <c r="E11" t="s">
        <v>89</v>
      </c>
      <c r="G11" s="18">
        <f>SUM(G7:G10)</f>
        <v>122000</v>
      </c>
      <c r="H11" s="11">
        <f>SUM(H7:H10)</f>
        <v>0.4236111111111111</v>
      </c>
    </row>
    <row r="12" spans="1:8" x14ac:dyDescent="0.45">
      <c r="E12" t="s">
        <v>129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3500-514E-4441-AD9B-B9A935C0D1EA}">
  <dimension ref="A1:K13"/>
  <sheetViews>
    <sheetView tabSelected="1" topLeftCell="A3" workbookViewId="0">
      <selection activeCell="D8" sqref="D8"/>
    </sheetView>
  </sheetViews>
  <sheetFormatPr defaultRowHeight="18" x14ac:dyDescent="0.45"/>
  <cols>
    <col min="1" max="1" width="10" customWidth="1"/>
    <col min="2" max="2" width="10.5" customWidth="1"/>
    <col min="3" max="3" width="35.09765625" customWidth="1"/>
    <col min="4" max="4" width="67.69921875" customWidth="1"/>
    <col min="5" max="5" width="12" customWidth="1"/>
  </cols>
  <sheetData>
    <row r="1" spans="1:11" x14ac:dyDescent="0.45">
      <c r="A1" s="25" t="s">
        <v>149</v>
      </c>
      <c r="B1" s="21" t="s">
        <v>150</v>
      </c>
      <c r="C1" s="22" t="s">
        <v>141</v>
      </c>
      <c r="D1" s="22" t="s">
        <v>142</v>
      </c>
      <c r="E1" s="26" t="s">
        <v>151</v>
      </c>
    </row>
    <row r="2" spans="1:11" x14ac:dyDescent="0.45">
      <c r="A2" s="23" t="s">
        <v>5</v>
      </c>
      <c r="B2" s="23" t="s">
        <v>17</v>
      </c>
      <c r="C2" s="24" t="s">
        <v>7</v>
      </c>
      <c r="D2" s="24" t="s">
        <v>10</v>
      </c>
      <c r="E2" s="24" t="s">
        <v>13</v>
      </c>
    </row>
    <row r="3" spans="1:11" ht="54" x14ac:dyDescent="0.45">
      <c r="A3" s="20">
        <v>1</v>
      </c>
      <c r="B3" s="20">
        <v>1</v>
      </c>
      <c r="C3" s="2" t="s">
        <v>131</v>
      </c>
      <c r="D3" s="19" t="s">
        <v>155</v>
      </c>
      <c r="E3">
        <v>26</v>
      </c>
    </row>
    <row r="4" spans="1:11" ht="77.400000000000006" customHeight="1" x14ac:dyDescent="0.45">
      <c r="A4" s="20">
        <v>2</v>
      </c>
      <c r="B4" s="20">
        <v>2</v>
      </c>
      <c r="C4" t="s">
        <v>139</v>
      </c>
      <c r="D4" s="19" t="s">
        <v>164</v>
      </c>
      <c r="E4">
        <v>27</v>
      </c>
      <c r="J4" s="4"/>
      <c r="K4" s="11"/>
    </row>
    <row r="5" spans="1:11" ht="54" customHeight="1" x14ac:dyDescent="0.45">
      <c r="A5" s="20">
        <v>3</v>
      </c>
      <c r="B5" s="20">
        <v>3</v>
      </c>
      <c r="C5" t="s">
        <v>143</v>
      </c>
      <c r="D5" s="19" t="s">
        <v>166</v>
      </c>
      <c r="E5">
        <v>26</v>
      </c>
      <c r="J5" s="4"/>
      <c r="K5" s="11"/>
    </row>
    <row r="6" spans="1:11" ht="30.6" customHeight="1" x14ac:dyDescent="0.45">
      <c r="A6" s="20">
        <v>4</v>
      </c>
      <c r="B6" s="20">
        <v>4</v>
      </c>
      <c r="C6" s="2" t="s">
        <v>144</v>
      </c>
      <c r="D6" s="19" t="s">
        <v>168</v>
      </c>
      <c r="E6">
        <v>21</v>
      </c>
      <c r="J6" s="4"/>
      <c r="K6" s="11"/>
    </row>
    <row r="7" spans="1:11" x14ac:dyDescent="0.45">
      <c r="A7" s="20">
        <v>5</v>
      </c>
      <c r="B7" s="20">
        <v>5</v>
      </c>
      <c r="C7" t="s">
        <v>133</v>
      </c>
      <c r="E7">
        <v>39</v>
      </c>
      <c r="J7" s="4"/>
      <c r="K7" s="11"/>
    </row>
    <row r="8" spans="1:11" ht="54" x14ac:dyDescent="0.45">
      <c r="A8" s="20">
        <v>6</v>
      </c>
      <c r="B8" s="20">
        <v>6</v>
      </c>
      <c r="C8" s="19" t="s">
        <v>134</v>
      </c>
      <c r="E8">
        <v>40</v>
      </c>
      <c r="J8" s="4"/>
      <c r="K8" s="11"/>
    </row>
    <row r="9" spans="1:11" x14ac:dyDescent="0.45">
      <c r="A9" s="20">
        <v>7</v>
      </c>
      <c r="B9" s="20">
        <v>8</v>
      </c>
      <c r="C9" t="s">
        <v>114</v>
      </c>
      <c r="E9">
        <v>28</v>
      </c>
      <c r="J9" s="4"/>
      <c r="K9" s="11"/>
    </row>
    <row r="10" spans="1:11" x14ac:dyDescent="0.45">
      <c r="A10" s="20">
        <v>8</v>
      </c>
      <c r="B10" s="20">
        <v>9</v>
      </c>
      <c r="C10" t="s">
        <v>146</v>
      </c>
      <c r="E10">
        <v>22</v>
      </c>
      <c r="J10" s="4"/>
      <c r="K10" s="11"/>
    </row>
    <row r="11" spans="1:11" ht="36" x14ac:dyDescent="0.45">
      <c r="A11" s="20">
        <v>9</v>
      </c>
      <c r="B11" s="20">
        <v>10</v>
      </c>
      <c r="C11" s="19" t="s">
        <v>148</v>
      </c>
      <c r="E11">
        <v>16</v>
      </c>
      <c r="H11" s="5"/>
      <c r="I11" s="5"/>
      <c r="J11" s="6"/>
      <c r="K11" s="12"/>
    </row>
    <row r="12" spans="1:11" x14ac:dyDescent="0.45">
      <c r="A12" s="20">
        <v>10</v>
      </c>
      <c r="B12" s="20">
        <v>11</v>
      </c>
      <c r="C12" t="s">
        <v>145</v>
      </c>
      <c r="E12">
        <v>21</v>
      </c>
    </row>
    <row r="13" spans="1:11" ht="36" x14ac:dyDescent="0.45">
      <c r="A13" s="20">
        <v>11</v>
      </c>
      <c r="B13" s="20">
        <v>13</v>
      </c>
      <c r="C13" s="19" t="s">
        <v>147</v>
      </c>
      <c r="E13">
        <v>13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30309-28</dc:creator>
  <cp:lastModifiedBy>30309-28</cp:lastModifiedBy>
  <dcterms:created xsi:type="dcterms:W3CDTF">2025-11-05T00:54:35Z</dcterms:created>
  <dcterms:modified xsi:type="dcterms:W3CDTF">2025-11-05T06:43:02Z</dcterms:modified>
</cp:coreProperties>
</file>